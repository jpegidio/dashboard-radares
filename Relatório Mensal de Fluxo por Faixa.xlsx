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ório" r:id="rId3" sheetId="1"/>
  </sheets>
  <definedNames>
    <definedName name="_xlnm.Print_Titles" localSheetId="0">Relatório!$1:$5</definedName>
  </definedNames>
</workbook>
</file>

<file path=xl/sharedStrings.xml><?xml version="1.0" encoding="utf-8"?>
<sst xmlns="http://schemas.openxmlformats.org/spreadsheetml/2006/main" count="96" uniqueCount="65">
  <si>
    <t>STKR014 - Relatório Mensal de Fluxo por Faixa</t>
  </si>
  <si>
    <t>Período: 01/03/2026 - 18/03/2026</t>
  </si>
  <si>
    <t>Equipamentos: JF0111</t>
  </si>
  <si>
    <t>PROJETO/EMISSÃO</t>
  </si>
  <si>
    <t>JOINVILLE_SC_821_2023</t>
  </si>
  <si>
    <t>18/03/2026 11:35:40</t>
  </si>
  <si>
    <t/>
  </si>
  <si>
    <t>IDENTIFICAÇÃO</t>
  </si>
  <si>
    <t>TIPO</t>
  </si>
  <si>
    <t>SENTIDO VIA</t>
  </si>
  <si>
    <t>ENDEREÇO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</si>
  <si>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</si>
  <si>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</si>
  <si>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</si>
  <si>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</si>
  <si>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</si>
  <si>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</si>
  <si>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</si>
  <si>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</si>
  <si>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</si>
  <si>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</si>
  <si>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</si>
  <si>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</si>
  <si>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</si>
  <si>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</si>
  <si>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</si>
  <si>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</si>
  <si>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</si>
  <si>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</si>
  <si>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</si>
  <si>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</si>
  <si>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</si>
  <si>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</si>
  <si>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</si>
  <si>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</si>
  <si>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</si>
  <si>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</si>
  <si>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</si>
  <si>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</si>
  <si>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</si>
  <si>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</si>
  <si>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</si>
  <si>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TOTAL DE VEÍCULOS</t>
  </si>
  <si>
    <t>MÉDIA POR FAIXA</t>
  </si>
  <si>
    <t>DESVIO PADRÃO</t>
  </si>
  <si>
    <t>JF0111</t>
  </si>
  <si>
    <t>M</t>
  </si>
  <si>
    <t>Norte/Sul</t>
  </si>
  <si>
    <t>Av. Cel. Procópio Gomes X Inácio Bastos, Joinville, SC</t>
  </si>
  <si>
    <t>6540,39</t>
  </si>
  <si>
    <t>1871,73</t>
  </si>
  <si>
    <t xml:space="preserve"> - </t>
  </si>
  <si>
    <t>Total</t>
  </si>
  <si>
    <t>-</t>
  </si>
  <si>
    <t>Total de faixas com registro de fluxo</t>
  </si>
  <si>
    <t>Total de faixas sem registro de fluxo</t>
  </si>
  <si>
    <t>Total de faixas com paralisação total</t>
  </si>
  <si>
    <t>LEGENDA</t>
  </si>
  <si>
    <t xml:space="preserve"> Equipamento operando e com registro(s) de fluxo.</t>
  </si>
  <si>
    <t xml:space="preserve"> Equipamento operando e sem registro(s) de fluxo.</t>
  </si>
  <si>
    <t xml:space="preserve"> Equipamento com paralisação parcial, ocasionada por fatores externos (a exemplo de obras), mas que mantém a remuneração mensal.</t>
  </si>
  <si>
    <t>P</t>
  </si>
  <si>
    <t xml:space="preserve"> Equipamento com paralisação total. Remuneração mensal é prejudicada/afetada.</t>
  </si>
  <si>
    <t xml:space="preserve"> Equipamento com inoperância parcial, ou seja, com alguma de suas funções contratadas desabilitada. No entanto, a remuneração mensal não é prejudicada.</t>
  </si>
  <si>
    <t>Fluxo excede a média mais dois desvios padrões ou Fluxo é menor que a média menos dois desvios padrões.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</si>
</sst>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20.0"/>
      <color rgb="FFFFFF"/>
      <b val="true"/>
    </font>
    <font>
      <name val="Calibri"/>
      <sz val="20.0"/>
      <color rgb="000000"/>
      <b val="true"/>
    </font>
    <font>
      <name val="Calibri"/>
      <sz val="12.0"/>
      <color rgb="000000"/>
      <b val="true"/>
    </font>
    <font>
      <name val="Calibri"/>
      <sz val="12.0"/>
      <color rgb="000000"/>
      <b val="true"/>
    </font>
    <font>
      <name val="Calibri"/>
      <sz val="12.0"/>
      <color rgb="FFFFFF"/>
      <b val="true"/>
    </font>
    <font>
      <name val="Calibri"/>
      <sz val="12.0"/>
      <color rgb="000000"/>
      <b val="true"/>
    </font>
    <font>
      <name val="Calibri"/>
      <sz val="12.0"/>
      <color rgb="000000"/>
      <b val="true"/>
    </font>
    <font>
      <name val="Calibri"/>
      <sz val="12.0"/>
      <color rgb="FFFFFF"/>
      <b val="true"/>
    </font>
    <font>
      <name val="Calibri"/>
      <sz val="12.0"/>
      <color rgb="000000"/>
    </font>
    <font>
      <name val="Calibri"/>
      <sz val="12.0"/>
      <color rgb="000000"/>
    </font>
    <font>
      <name val="Calibri"/>
      <sz val="10.0"/>
      <color rgb="000000"/>
      <b val="true"/>
    </font>
    <font>
      <name val="Calibri"/>
      <sz val="10.0"/>
      <color rgb="000000"/>
      <b val="true"/>
    </font>
    <font>
      <name val="Calibri"/>
      <sz val="10.0"/>
      <color rgb="000000"/>
    </font>
    <font>
      <name val="Calibri"/>
      <sz val="10.0"/>
      <color rgb="000000"/>
      <b val="true"/>
    </font>
    <font>
      <name val="Calibri"/>
      <sz val="10.0"/>
      <color rgb="000000"/>
      <b val="true"/>
    </font>
    <font>
      <name val="Calibri"/>
      <sz val="10.0"/>
      <color rgb="000000"/>
      <b val="true"/>
    </font>
    <font>
      <name val="Calibri"/>
      <sz val="10.0"/>
      <color rgb="000000"/>
      <b val="true"/>
    </font>
    <font>
      <name val="Calibri"/>
      <sz val="10.0"/>
      <color rgb="000000"/>
      <b val="true"/>
    </font>
  </fonts>
  <fills count="21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>
        <fgColor rgb="1F497D"/>
        <bgColor indexed="64"/>
      </patternFill>
    </fill>
    <fill>
      <patternFill patternType="solid">
        <fgColor rgb="1F497D"/>
        <bgColor indexed="64"/>
      </patternFill>
    </fill>
    <fill>
      <patternFill>
        <fgColor rgb="FFFFFF"/>
        <bgColor indexed="64"/>
      </patternFill>
    </fill>
    <fill>
      <patternFill patternType="solid">
        <fgColor rgb="FFFFFF"/>
        <bgColor indexed="64"/>
      </patternFill>
    </fill>
    <fill>
      <patternFill>
        <fgColor rgb="EEE74D"/>
        <bgColor indexed="64"/>
      </patternFill>
    </fill>
    <fill>
      <patternFill patternType="solid">
        <fgColor rgb="EEE74D"/>
        <bgColor indexed="64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>
        <fgColor rgb="DD4B39"/>
        <bgColor indexed="64"/>
      </patternFill>
    </fill>
    <fill>
      <patternFill patternType="solid">
        <fgColor rgb="DD4B39"/>
        <bgColor indexed="64"/>
      </patternFill>
    </fill>
    <fill>
      <patternFill>
        <fgColor rgb="00EF64"/>
        <bgColor indexed="64"/>
      </patternFill>
    </fill>
    <fill>
      <patternFill patternType="solid">
        <fgColor rgb="00EF64"/>
        <bgColor indexed="64"/>
      </patternFill>
    </fill>
    <fill>
      <patternFill>
        <fgColor rgb="B5BBC8"/>
        <bgColor indexed="64"/>
      </patternFill>
    </fill>
    <fill>
      <patternFill patternType="solid">
        <fgColor rgb="B5BBC8"/>
        <bgColor indexed="64"/>
      </patternFill>
    </fill>
    <fill>
      <patternFill>
        <fgColor rgb="00C0EF"/>
        <bgColor indexed="64"/>
      </patternFill>
    </fill>
    <fill>
      <patternFill patternType="solid">
        <fgColor rgb="00C0EF"/>
        <bgColor indexed="64"/>
      </patternFill>
    </fill>
  </fills>
  <borders count="62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1">
    <xf numFmtId="0" fontId="0" fillId="0" borderId="0" xfId="0"/>
    <xf numFmtId="0" fontId="0" fillId="4" borderId="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7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5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6" borderId="6" xfId="0" applyBorder="true" applyNumberFormat="true" applyFill="true" applyFont="true">
      <alignment horizontal="center" vertical="center" indent="0" textRotation="0" wrapText="true"/>
      <protection hidden="false" locked="true"/>
    </xf>
    <xf numFmtId="0" fontId="2" fillId="8" borderId="6" xfId="0" applyBorder="true" applyNumberFormat="true" applyFill="true" applyFont="true">
      <alignment horizontal="center" vertical="bottom" indent="0" textRotation="0" wrapText="true"/>
      <protection hidden="false" locked="true"/>
    </xf>
    <xf numFmtId="0" fontId="3" fillId="8" borderId="15" xfId="0" applyBorder="true" applyNumberFormat="true" applyFill="true" applyFont="true">
      <alignment horizontal="center" vertical="center" indent="0" textRotation="0" wrapText="true"/>
      <protection hidden="false" locked="true"/>
    </xf>
    <xf numFmtId="0" fontId="4" fillId="8" borderId="21" xfId="0" applyBorder="true" applyNumberFormat="true" applyFill="true" applyFont="true">
      <alignment horizontal="center" vertical="top" indent="0" textRotation="0" wrapText="true"/>
      <protection hidden="false" locked="true"/>
    </xf>
    <xf numFmtId="0" fontId="5" fillId="6" borderId="45" xfId="0" applyBorder="true" applyNumberFormat="true" applyFill="true" applyFont="true">
      <alignment horizontal="center" vertical="center" indent="0" textRotation="0" wrapText="true"/>
      <protection hidden="false" locked="true"/>
    </xf>
    <xf numFmtId="0" fontId="6" fillId="8" borderId="6" xfId="0" applyBorder="true" applyNumberFormat="true" applyFill="true" applyFont="true">
      <alignment horizontal="center" vertical="center" indent="0" textRotation="0" wrapText="true"/>
      <protection hidden="false" locked="true"/>
    </xf>
    <xf numFmtId="0" fontId="7" fillId="8" borderId="21" xfId="0" applyBorder="true" applyNumberFormat="true" applyFill="true" applyFont="true">
      <alignment horizontal="center" vertical="center" indent="0" textRotation="0" wrapText="true"/>
      <protection hidden="false" locked="true"/>
    </xf>
    <xf numFmtId="0" fontId="0" fillId="4" borderId="5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8" fillId="6" borderId="56" xfId="0" applyBorder="true" applyNumberFormat="true" applyFill="true" applyFont="true">
      <alignment horizontal="center" vertical="center" indent="0" textRotation="0" wrapText="true"/>
      <protection hidden="false" locked="true"/>
    </xf>
    <xf numFmtId="0" fontId="9" fillId="8" borderId="56" xfId="0" applyBorder="true" applyNumberFormat="true" applyFill="true" applyFont="true">
      <alignment horizontal="center" vertical="center" indent="0" textRotation="0" wrapText="true"/>
      <protection hidden="false" locked="true"/>
    </xf>
    <xf numFmtId="0" fontId="10" fillId="10" borderId="56" xfId="0" applyBorder="true" applyNumberFormat="true" applyFill="true" applyFont="true">
      <alignment horizontal="center" vertical="center" indent="0" textRotation="0" wrapText="true"/>
      <protection hidden="false" locked="true"/>
    </xf>
    <xf numFmtId="0" fontId="0" fillId="4" borderId="6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1" fillId="12" borderId="0" xfId="0" applyFont="true" applyFill="true">
      <alignment horizontal="left" vertical="bottom" wrapText="true"/>
    </xf>
    <xf numFmtId="0" fontId="12" fillId="8" borderId="56" xfId="0" applyBorder="true" applyNumberFormat="true" applyFill="true" applyFont="true">
      <alignment horizontal="center" vertical="center" indent="0" textRotation="0" wrapText="true"/>
      <protection hidden="false" locked="true"/>
    </xf>
    <xf numFmtId="0" fontId="13" fillId="12" borderId="0" xfId="0" applyFont="true" applyFill="true">
      <alignment horizontal="left" vertical="center" wrapText="true"/>
    </xf>
    <xf numFmtId="0" fontId="14" fillId="14" borderId="56" xfId="0" applyBorder="true" applyNumberFormat="true" applyFill="true" applyFont="true">
      <alignment horizontal="center" vertical="center" indent="0" textRotation="0" wrapText="true"/>
      <protection hidden="false" locked="true"/>
    </xf>
    <xf numFmtId="0" fontId="15" fillId="16" borderId="56" xfId="0" applyBorder="true" applyNumberFormat="true" applyFill="true" applyFont="true">
      <alignment horizontal="center" vertical="center" indent="0" textRotation="0" wrapText="true"/>
      <protection hidden="false" locked="true"/>
    </xf>
    <xf numFmtId="0" fontId="16" fillId="18" borderId="56" xfId="0" applyBorder="true" applyNumberFormat="true" applyFill="true" applyFont="true">
      <alignment horizontal="center" vertical="center" indent="0" textRotation="0" wrapText="true"/>
      <protection hidden="false" locked="true"/>
    </xf>
    <xf numFmtId="0" fontId="17" fillId="20" borderId="56" xfId="0" applyBorder="true" applyNumberFormat="true" applyFill="true" applyFont="true">
      <alignment horizontal="center" vertical="center" indent="0" textRotation="0" wrapText="true"/>
      <protection hidden="false" locked="true"/>
    </xf>
    <xf numFmtId="0" fontId="18" fillId="10" borderId="56" xfId="0" applyBorder="true" applyNumberFormat="true" applyFill="true" applyFont="true">
      <alignment horizontal="center" vertical="center" indent="0" textRotation="0" wrapText="tru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190500</xdr:colOff>
      <xdr:row>0</xdr:row>
      <xdr:rowOff>190500</xdr:rowOff>
    </xdr:from>
    <xdr:to>
      <xdr:col>3</xdr:col>
      <xdr:colOff>266732</xdr:colOff>
      <xdr:row>2</xdr:row>
      <xdr:rowOff>50800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90500" y="190500"/>
          <a:ext cx="2934054" cy="5588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AL24"/>
  <sheetViews>
    <sheetView workbookViewId="0" tabSelected="true" showGridLines="false" showZeros="true">
      <pane xSplit="4.0" ySplit="5.0" state="frozen" topLeftCell="E6" activePane="bottomRight"/>
      <selection pane="bottomRight"/>
    </sheetView>
  </sheetViews>
  <sheetFormatPr defaultRowHeight="15.0"/>
  <cols>
    <col min="1" max="1" width="7.140625" customWidth="true"/>
    <col min="2" max="2" width="25.7109375" customWidth="true"/>
    <col min="3" max="3" width="10.0" customWidth="true"/>
    <col min="4" max="4" width="31.42578125" customWidth="true"/>
    <col min="5" max="5" width="8.5703125" customWidth="true"/>
    <col min="6" max="6" width="8.5703125" customWidth="true"/>
    <col min="7" max="7" width="8.5703125" customWidth="true"/>
    <col min="8" max="8" width="8.5703125" customWidth="true"/>
    <col min="9" max="9" width="8.5703125" customWidth="true"/>
    <col min="10" max="10" width="8.5703125" customWidth="true"/>
    <col min="11" max="11" width="8.5703125" customWidth="true"/>
    <col min="12" max="12" width="8.5703125" customWidth="true"/>
    <col min="13" max="13" width="8.5703125" customWidth="true"/>
    <col min="14" max="14" width="8.5703125" customWidth="true"/>
    <col min="15" max="15" width="8.5703125" customWidth="true"/>
    <col min="16" max="16" width="8.5703125" customWidth="true"/>
    <col min="17" max="17" width="8.5703125" customWidth="true"/>
    <col min="18" max="18" width="8.5703125" customWidth="true"/>
    <col min="19" max="19" width="8.5703125" customWidth="true"/>
    <col min="20" max="20" width="8.5703125" customWidth="true"/>
    <col min="21" max="21" width="8.5703125" customWidth="true"/>
    <col min="22" max="22" width="8.5703125" customWidth="true"/>
    <col min="23" max="23" width="8.5703125" customWidth="true"/>
    <col min="24" max="24" width="8.5703125" customWidth="true"/>
    <col min="25" max="25" width="8.5703125" customWidth="true"/>
    <col min="26" max="26" width="8.5703125" customWidth="true"/>
    <col min="27" max="27" width="8.5703125" customWidth="true"/>
    <col min="28" max="28" width="8.5703125" customWidth="true"/>
    <col min="29" max="29" width="8.5703125" customWidth="true"/>
    <col min="30" max="30" width="8.5703125" customWidth="true"/>
    <col min="31" max="31" width="8.5703125" customWidth="true"/>
    <col min="32" max="32" width="8.5703125" customWidth="true"/>
    <col min="33" max="33" width="8.5703125" customWidth="true"/>
    <col min="34" max="34" width="8.5703125" customWidth="true"/>
    <col min="35" max="35" width="8.5703125" customWidth="true"/>
    <col min="36" max="36" width="23.5703125" customWidth="true"/>
    <col min="37" max="37" width="23.5703125" customWidth="true"/>
    <col min="38" max="38" width="23.5703125" customWidth="true"/>
  </cols>
  <sheetData>
    <row r="1" ht="35.0" customHeight="true">
      <c r="A1" s="11"/>
      <c r="B1" s="2"/>
      <c r="C1" s="2"/>
      <c r="D1" s="5"/>
      <c r="E1" s="1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5"/>
      <c r="AI1" s="15" t="s">
        <v>3</v>
      </c>
      <c r="AJ1" s="10"/>
    </row>
    <row r="2" ht="20.0" customHeight="true">
      <c r="A2" s="3"/>
      <c r="D2" s="7"/>
      <c r="E2" s="13" t="s">
        <v>1</v>
      </c>
      <c r="AH2" s="7"/>
      <c r="AI2" s="16" t="s">
        <v>4</v>
      </c>
      <c r="AJ2" s="5"/>
    </row>
    <row r="3" ht="20.0" customHeight="true">
      <c r="A3" s="4"/>
      <c r="B3" s="6"/>
      <c r="C3" s="6"/>
      <c r="D3" s="8"/>
      <c r="E3" s="14" t="s">
        <v>2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8"/>
      <c r="AI3" s="17" t="s">
        <v>5</v>
      </c>
      <c r="AJ3" s="8"/>
    </row>
    <row r="4" ht="10.0" customHeight="true"/>
    <row r="5" ht="25.0" customHeight="true">
      <c r="A5" s="19" t="s">
        <v>6</v>
      </c>
      <c r="B5" s="19" t="s">
        <v>7</v>
      </c>
      <c r="C5" s="19" t="s">
        <v>8</v>
      </c>
      <c r="D5" s="19" t="s">
        <v>9</v>
      </c>
      <c r="E5" s="19" t="s">
        <v>11</v>
      </c>
      <c r="F5" s="19" t="s">
        <v>12</v>
      </c>
      <c r="G5" s="19" t="s">
        <v>13</v>
      </c>
      <c r="H5" s="19" t="s">
        <v>14</v>
      </c>
      <c r="I5" s="19" t="s">
        <v>15</v>
      </c>
      <c r="J5" s="19" t="s">
        <v>16</v>
      </c>
      <c r="K5" s="19" t="s">
        <v>17</v>
      </c>
      <c r="L5" s="19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19" t="s">
        <v>23</v>
      </c>
      <c r="R5" s="19" t="s">
        <v>24</v>
      </c>
      <c r="S5" s="19" t="s">
        <v>25</v>
      </c>
      <c r="T5" s="19" t="s">
        <v>26</v>
      </c>
      <c r="U5" s="19" t="s">
        <v>27</v>
      </c>
      <c r="V5" s="19" t="s">
        <v>28</v>
      </c>
      <c r="W5" s="19" t="s">
        <v>29</v>
      </c>
      <c r="X5" s="19" t="s">
        <v>30</v>
      </c>
      <c r="Y5" s="19" t="s">
        <v>31</v>
      </c>
      <c r="Z5" s="19" t="s">
        <v>32</v>
      </c>
      <c r="AA5" s="19" t="s">
        <v>33</v>
      </c>
      <c r="AB5" s="19" t="s">
        <v>34</v>
      </c>
      <c r="AC5" s="19" t="s">
        <v>35</v>
      </c>
      <c r="AD5" s="19" t="s">
        <v>36</v>
      </c>
      <c r="AE5" s="19" t="s">
        <v>37</v>
      </c>
      <c r="AF5" s="19" t="s">
        <v>38</v>
      </c>
      <c r="AG5" s="19" t="s">
        <v>39</v>
      </c>
      <c r="AH5" s="19" t="s">
        <v>40</v>
      </c>
      <c r="AI5" s="19" t="s">
        <v>41</v>
      </c>
      <c r="AJ5" s="19" t="s">
        <v>42</v>
      </c>
      <c r="AK5" s="19" t="s">
        <v>43</v>
      </c>
      <c r="AL5" s="19" t="s">
        <v>44</v>
      </c>
    </row>
    <row r="6" ht="40.0" customHeight="true">
      <c r="A6" s="19" t="n">
        <v>1.0</v>
      </c>
      <c r="B6" s="20" t="s">
        <v>45</v>
      </c>
      <c r="C6" s="20" t="s">
        <v>46</v>
      </c>
      <c r="D6" s="20" t="s">
        <v>47</v>
      </c>
      <c r="E6" s="20" t="n">
        <v>4319.0</v>
      </c>
      <c r="F6" s="20" t="n">
        <v>7543.0</v>
      </c>
      <c r="G6" s="20" t="n">
        <v>7644.0</v>
      </c>
      <c r="H6" s="20" t="n">
        <v>7702.0</v>
      </c>
      <c r="I6" s="20" t="n">
        <v>7714.0</v>
      </c>
      <c r="J6" s="20" t="n">
        <v>8343.0</v>
      </c>
      <c r="K6" s="20" t="n">
        <v>6478.0</v>
      </c>
      <c r="L6" s="20" t="n">
        <v>4202.0</v>
      </c>
      <c r="M6" s="20" t="n">
        <v>4084.0</v>
      </c>
      <c r="N6" s="20" t="n">
        <v>7932.0</v>
      </c>
      <c r="O6" s="20" t="n">
        <v>7905.0</v>
      </c>
      <c r="P6" s="20" t="n">
        <v>7825.0</v>
      </c>
      <c r="Q6" s="20" t="n">
        <v>8355.0</v>
      </c>
      <c r="R6" s="20" t="n">
        <v>6122.0</v>
      </c>
      <c r="S6" s="20" t="n">
        <v>4071.0</v>
      </c>
      <c r="T6" s="20" t="n">
        <v>7485.0</v>
      </c>
      <c r="U6" s="20" t="n">
        <v>7673.0</v>
      </c>
      <c r="V6" s="21" t="n">
        <v>2330.0</v>
      </c>
      <c r="W6" s="20" t="s">
        <v>51</v>
      </c>
      <c r="X6" s="20" t="s">
        <v>51</v>
      </c>
      <c r="Y6" s="20" t="s">
        <v>51</v>
      </c>
      <c r="Z6" s="20" t="s">
        <v>51</v>
      </c>
      <c r="AA6" s="20" t="s">
        <v>51</v>
      </c>
      <c r="AB6" s="20" t="s">
        <v>51</v>
      </c>
      <c r="AC6" s="20" t="s">
        <v>51</v>
      </c>
      <c r="AD6" s="20" t="s">
        <v>51</v>
      </c>
      <c r="AE6" s="20" t="s">
        <v>51</v>
      </c>
      <c r="AF6" s="20" t="s">
        <v>51</v>
      </c>
      <c r="AG6" s="20" t="s">
        <v>51</v>
      </c>
      <c r="AH6" s="20" t="s">
        <v>51</v>
      </c>
      <c r="AI6" s="20" t="s">
        <v>51</v>
      </c>
      <c r="AJ6" s="20" t="n">
        <v>117727.0</v>
      </c>
      <c r="AK6" s="20" t="s">
        <v>49</v>
      </c>
      <c r="AL6" s="20" t="s">
        <v>50</v>
      </c>
    </row>
    <row r="7" ht="40.0" customHeight="true">
      <c r="A7" s="19" t="s">
        <v>52</v>
      </c>
      <c r="B7" s="22"/>
      <c r="C7" s="22"/>
      <c r="D7" s="10"/>
      <c r="E7" s="20" t="n">
        <v>4319.0</v>
      </c>
      <c r="F7" s="20" t="n">
        <v>7543.0</v>
      </c>
      <c r="G7" s="20" t="n">
        <v>7644.0</v>
      </c>
      <c r="H7" s="20" t="n">
        <v>7702.0</v>
      </c>
      <c r="I7" s="20" t="n">
        <v>7714.0</v>
      </c>
      <c r="J7" s="20" t="n">
        <v>8343.0</v>
      </c>
      <c r="K7" s="20" t="n">
        <v>6478.0</v>
      </c>
      <c r="L7" s="20" t="n">
        <v>4202.0</v>
      </c>
      <c r="M7" s="20" t="n">
        <v>4084.0</v>
      </c>
      <c r="N7" s="20" t="n">
        <v>7932.0</v>
      </c>
      <c r="O7" s="20" t="n">
        <v>7905.0</v>
      </c>
      <c r="P7" s="20" t="n">
        <v>7825.0</v>
      </c>
      <c r="Q7" s="20" t="n">
        <v>8355.0</v>
      </c>
      <c r="R7" s="20" t="n">
        <v>6122.0</v>
      </c>
      <c r="S7" s="20" t="n">
        <v>4071.0</v>
      </c>
      <c r="T7" s="20" t="n">
        <v>7485.0</v>
      </c>
      <c r="U7" s="20" t="n">
        <v>7673.0</v>
      </c>
      <c r="V7" s="20" t="n">
        <v>2330.0</v>
      </c>
      <c r="W7" s="20" t="s">
        <v>51</v>
      </c>
      <c r="X7" s="20" t="s">
        <v>51</v>
      </c>
      <c r="Y7" s="20" t="s">
        <v>51</v>
      </c>
      <c r="Z7" s="20" t="s">
        <v>51</v>
      </c>
      <c r="AA7" s="20" t="s">
        <v>51</v>
      </c>
      <c r="AB7" s="20" t="s">
        <v>51</v>
      </c>
      <c r="AC7" s="20" t="s">
        <v>51</v>
      </c>
      <c r="AD7" s="20" t="s">
        <v>51</v>
      </c>
      <c r="AE7" s="20" t="s">
        <v>51</v>
      </c>
      <c r="AF7" s="20" t="s">
        <v>51</v>
      </c>
      <c r="AG7" s="20" t="s">
        <v>51</v>
      </c>
      <c r="AH7" s="20" t="s">
        <v>51</v>
      </c>
      <c r="AI7" s="20" t="s">
        <v>51</v>
      </c>
      <c r="AJ7" s="20" t="n">
        <v>117727.0</v>
      </c>
      <c r="AK7" s="20" t="s">
        <v>53</v>
      </c>
      <c r="AL7" s="20" t="s">
        <v>53</v>
      </c>
    </row>
    <row r="9" ht="25.0" customHeight="true">
      <c r="B9" s="20" t="s">
        <v>54</v>
      </c>
      <c r="C9" s="10"/>
      <c r="E9" s="20" t="n">
        <f>IF(E7=  " - " ,  " - " , COUNTIF(E6:E6, "&gt;0"))</f>
        <v>1.0</v>
      </c>
      <c r="F9" s="20" t="n">
        <f>IF(F7=  " - " ,  " - " , COUNTIF(F6:F6, "&gt;0"))</f>
        <v>1.0</v>
      </c>
      <c r="G9" s="20" t="n">
        <f>IF(G7=  " - " ,  " - " , COUNTIF(G6:G6, "&gt;0"))</f>
        <v>1.0</v>
      </c>
      <c r="H9" s="20" t="n">
        <f>IF(H7=  " - " ,  " - " , COUNTIF(H6:H6, "&gt;0"))</f>
        <v>1.0</v>
      </c>
      <c r="I9" s="20" t="n">
        <f>IF(I7=  " - " ,  " - " , COUNTIF(I6:I6, "&gt;0"))</f>
        <v>1.0</v>
      </c>
      <c r="J9" s="20" t="n">
        <f>IF(J7=  " - " ,  " - " , COUNTIF(J6:J6, "&gt;0"))</f>
        <v>1.0</v>
      </c>
      <c r="K9" s="20" t="n">
        <f>IF(K7=  " - " ,  " - " , COUNTIF(K6:K6, "&gt;0"))</f>
        <v>1.0</v>
      </c>
      <c r="L9" s="20" t="n">
        <f>IF(L7=  " - " ,  " - " , COUNTIF(L6:L6, "&gt;0"))</f>
        <v>1.0</v>
      </c>
      <c r="M9" s="20" t="n">
        <f>IF(M7=  " - " ,  " - " , COUNTIF(M6:M6, "&gt;0"))</f>
        <v>1.0</v>
      </c>
      <c r="N9" s="20" t="n">
        <f>IF(N7=  " - " ,  " - " , COUNTIF(N6:N6, "&gt;0"))</f>
        <v>1.0</v>
      </c>
      <c r="O9" s="20" t="n">
        <f>IF(O7=  " - " ,  " - " , COUNTIF(O6:O6, "&gt;0"))</f>
        <v>1.0</v>
      </c>
      <c r="P9" s="20" t="n">
        <f>IF(P7=  " - " ,  " - " , COUNTIF(P6:P6, "&gt;0"))</f>
        <v>1.0</v>
      </c>
      <c r="Q9" s="20" t="n">
        <f>IF(Q7=  " - " ,  " - " , COUNTIF(Q6:Q6, "&gt;0"))</f>
        <v>1.0</v>
      </c>
      <c r="R9" s="20" t="n">
        <f>IF(R7=  " - " ,  " - " , COUNTIF(R6:R6, "&gt;0"))</f>
        <v>1.0</v>
      </c>
      <c r="S9" s="20" t="n">
        <f>IF(S7=  " - " ,  " - " , COUNTIF(S6:S6, "&gt;0"))</f>
        <v>1.0</v>
      </c>
      <c r="T9" s="20" t="n">
        <f>IF(T7=  " - " ,  " - " , COUNTIF(T6:T6, "&gt;0"))</f>
        <v>1.0</v>
      </c>
      <c r="U9" s="20" t="n">
        <f>IF(U7=  " - " ,  " - " , COUNTIF(U6:U6, "&gt;0"))</f>
        <v>1.0</v>
      </c>
      <c r="V9" s="20" t="n">
        <f>IF(V7=  " - " ,  " - " , COUNTIF(V6:V6, "&gt;0"))</f>
        <v>1.0</v>
      </c>
      <c r="W9" s="20" t="str">
        <f>IF(W7=  " - " ,  " - " , COUNTIF(W6:W6, "&gt;0"))</f>
        <v> - </v>
      </c>
      <c r="X9" s="20" t="str">
        <f>IF(X7=  " - " ,  " - " , COUNTIF(X6:X6, "&gt;0"))</f>
        <v> - </v>
      </c>
      <c r="Y9" s="20" t="str">
        <f>IF(Y7=  " - " ,  " - " , COUNTIF(Y6:Y6, "&gt;0"))</f>
        <v> - </v>
      </c>
      <c r="Z9" s="20" t="str">
        <f>IF(Z7=  " - " ,  " - " , COUNTIF(Z6:Z6, "&gt;0"))</f>
        <v> - </v>
      </c>
      <c r="AA9" s="20" t="str">
        <f>IF(AA7=  " - " ,  " - " , COUNTIF(AA6:AA6, "&gt;0"))</f>
        <v> - </v>
      </c>
      <c r="AB9" s="20" t="str">
        <f>IF(AB7=  " - " ,  " - " , COUNTIF(AB6:AB6, "&gt;0"))</f>
        <v> - </v>
      </c>
      <c r="AC9" s="20" t="str">
        <f>IF(AC7=  " - " ,  " - " , COUNTIF(AC6:AC6, "&gt;0"))</f>
        <v> - </v>
      </c>
      <c r="AD9" s="20" t="str">
        <f>IF(AD7=  " - " ,  " - " , COUNTIF(AD6:AD6, "&gt;0"))</f>
        <v> - </v>
      </c>
      <c r="AE9" s="20" t="str">
        <f>IF(AE7=  " - " ,  " - " , COUNTIF(AE6:AE6, "&gt;0"))</f>
        <v> - </v>
      </c>
      <c r="AF9" s="20" t="str">
        <f>IF(AF7=  " - " ,  " - " , COUNTIF(AF6:AF6, "&gt;0"))</f>
        <v> - </v>
      </c>
      <c r="AG9" s="20" t="str">
        <f>IF(AG7=  " - " ,  " - " , COUNTIF(AG6:AG6, "&gt;0"))</f>
        <v> - </v>
      </c>
      <c r="AH9" s="20" t="str">
        <f>IF(AH7=  " - " ,  " - " , COUNTIF(AH6:AH6, "&gt;0"))</f>
        <v> - </v>
      </c>
      <c r="AI9" s="20" t="str">
        <f>IF(AI7=  " - " ,  " - " , COUNTIF(AI6:AI6, "&gt;0"))</f>
        <v> - </v>
      </c>
    </row>
    <row r="10" ht="25.0" customHeight="true">
      <c r="B10" s="20" t="s">
        <v>55</v>
      </c>
      <c r="C10" s="10"/>
      <c r="E10" s="20" t="n">
        <f>IF(E7=  " - " ,  " - " , COUNTIF(E6:E6, "=0"))</f>
        <v>0.0</v>
      </c>
      <c r="F10" s="20" t="n">
        <f>IF(F7=  " - " ,  " - " , COUNTIF(F6:F6, "=0"))</f>
        <v>0.0</v>
      </c>
      <c r="G10" s="20" t="n">
        <f>IF(G7=  " - " ,  " - " , COUNTIF(G6:G6, "=0"))</f>
        <v>0.0</v>
      </c>
      <c r="H10" s="20" t="n">
        <f>IF(H7=  " - " ,  " - " , COUNTIF(H6:H6, "=0"))</f>
        <v>0.0</v>
      </c>
      <c r="I10" s="20" t="n">
        <f>IF(I7=  " - " ,  " - " , COUNTIF(I6:I6, "=0"))</f>
        <v>0.0</v>
      </c>
      <c r="J10" s="20" t="n">
        <f>IF(J7=  " - " ,  " - " , COUNTIF(J6:J6, "=0"))</f>
        <v>0.0</v>
      </c>
      <c r="K10" s="20" t="n">
        <f>IF(K7=  " - " ,  " - " , COUNTIF(K6:K6, "=0"))</f>
        <v>0.0</v>
      </c>
      <c r="L10" s="20" t="n">
        <f>IF(L7=  " - " ,  " - " , COUNTIF(L6:L6, "=0"))</f>
        <v>0.0</v>
      </c>
      <c r="M10" s="20" t="n">
        <f>IF(M7=  " - " ,  " - " , COUNTIF(M6:M6, "=0"))</f>
        <v>0.0</v>
      </c>
      <c r="N10" s="20" t="n">
        <f>IF(N7=  " - " ,  " - " , COUNTIF(N6:N6, "=0"))</f>
        <v>0.0</v>
      </c>
      <c r="O10" s="20" t="n">
        <f>IF(O7=  " - " ,  " - " , COUNTIF(O6:O6, "=0"))</f>
        <v>0.0</v>
      </c>
      <c r="P10" s="20" t="n">
        <f>IF(P7=  " - " ,  " - " , COUNTIF(P6:P6, "=0"))</f>
        <v>0.0</v>
      </c>
      <c r="Q10" s="20" t="n">
        <f>IF(Q7=  " - " ,  " - " , COUNTIF(Q6:Q6, "=0"))</f>
        <v>0.0</v>
      </c>
      <c r="R10" s="20" t="n">
        <f>IF(R7=  " - " ,  " - " , COUNTIF(R6:R6, "=0"))</f>
        <v>0.0</v>
      </c>
      <c r="S10" s="20" t="n">
        <f>IF(S7=  " - " ,  " - " , COUNTIF(S6:S6, "=0"))</f>
        <v>0.0</v>
      </c>
      <c r="T10" s="20" t="n">
        <f>IF(T7=  " - " ,  " - " , COUNTIF(T6:T6, "=0"))</f>
        <v>0.0</v>
      </c>
      <c r="U10" s="20" t="n">
        <f>IF(U7=  " - " ,  " - " , COUNTIF(U6:U6, "=0"))</f>
        <v>0.0</v>
      </c>
      <c r="V10" s="20" t="n">
        <f>IF(V7=  " - " ,  " - " , COUNTIF(V6:V6, "=0"))</f>
        <v>0.0</v>
      </c>
      <c r="W10" s="20" t="str">
        <f>IF(W7=  " - " ,  " - " , COUNTIF(W6:W6, "=0"))</f>
        <v> - </v>
      </c>
      <c r="X10" s="20" t="str">
        <f>IF(X7=  " - " ,  " - " , COUNTIF(X6:X6, "=0"))</f>
        <v> - </v>
      </c>
      <c r="Y10" s="20" t="str">
        <f>IF(Y7=  " - " ,  " - " , COUNTIF(Y6:Y6, "=0"))</f>
        <v> - </v>
      </c>
      <c r="Z10" s="20" t="str">
        <f>IF(Z7=  " - " ,  " - " , COUNTIF(Z6:Z6, "=0"))</f>
        <v> - </v>
      </c>
      <c r="AA10" s="20" t="str">
        <f>IF(AA7=  " - " ,  " - " , COUNTIF(AA6:AA6, "=0"))</f>
        <v> - </v>
      </c>
      <c r="AB10" s="20" t="str">
        <f>IF(AB7=  " - " ,  " - " , COUNTIF(AB6:AB6, "=0"))</f>
        <v> - </v>
      </c>
      <c r="AC10" s="20" t="str">
        <f>IF(AC7=  " - " ,  " - " , COUNTIF(AC6:AC6, "=0"))</f>
        <v> - </v>
      </c>
      <c r="AD10" s="20" t="str">
        <f>IF(AD7=  " - " ,  " - " , COUNTIF(AD6:AD6, "=0"))</f>
        <v> - </v>
      </c>
      <c r="AE10" s="20" t="str">
        <f>IF(AE7=  " - " ,  " - " , COUNTIF(AE6:AE6, "=0"))</f>
        <v> - </v>
      </c>
      <c r="AF10" s="20" t="str">
        <f>IF(AF7=  " - " ,  " - " , COUNTIF(AF6:AF6, "=0"))</f>
        <v> - </v>
      </c>
      <c r="AG10" s="20" t="str">
        <f>IF(AG7=  " - " ,  " - " , COUNTIF(AG6:AG6, "=0"))</f>
        <v> - </v>
      </c>
      <c r="AH10" s="20" t="str">
        <f>IF(AH7=  " - " ,  " - " , COUNTIF(AH6:AH6, "=0"))</f>
        <v> - </v>
      </c>
      <c r="AI10" s="20" t="str">
        <f>IF(AI7=  " - " ,  " - " , COUNTIF(AI6:AI6, "=0"))</f>
        <v> - </v>
      </c>
    </row>
    <row r="11" ht="25.0" customHeight="true">
      <c r="B11" s="20" t="s">
        <v>56</v>
      </c>
      <c r="C11" s="10"/>
      <c r="E11" s="20" t="n">
        <f>IF(E7=  " - " ,  " - " , COUNTIF(E6:E6, "= P "))</f>
        <v>0.0</v>
      </c>
      <c r="F11" s="20" t="n">
        <f>IF(F7=  " - " ,  " - " , COUNTIF(F6:F6, "= P "))</f>
        <v>0.0</v>
      </c>
      <c r="G11" s="20" t="n">
        <f>IF(G7=  " - " ,  " - " , COUNTIF(G6:G6, "= P "))</f>
        <v>0.0</v>
      </c>
      <c r="H11" s="20" t="n">
        <f>IF(H7=  " - " ,  " - " , COUNTIF(H6:H6, "= P "))</f>
        <v>0.0</v>
      </c>
      <c r="I11" s="20" t="n">
        <f>IF(I7=  " - " ,  " - " , COUNTIF(I6:I6, "= P "))</f>
        <v>0.0</v>
      </c>
      <c r="J11" s="20" t="n">
        <f>IF(J7=  " - " ,  " - " , COUNTIF(J6:J6, "= P "))</f>
        <v>0.0</v>
      </c>
      <c r="K11" s="20" t="n">
        <f>IF(K7=  " - " ,  " - " , COUNTIF(K6:K6, "= P "))</f>
        <v>0.0</v>
      </c>
      <c r="L11" s="20" t="n">
        <f>IF(L7=  " - " ,  " - " , COUNTIF(L6:L6, "= P "))</f>
        <v>0.0</v>
      </c>
      <c r="M11" s="20" t="n">
        <f>IF(M7=  " - " ,  " - " , COUNTIF(M6:M6, "= P "))</f>
        <v>0.0</v>
      </c>
      <c r="N11" s="20" t="n">
        <f>IF(N7=  " - " ,  " - " , COUNTIF(N6:N6, "= P "))</f>
        <v>0.0</v>
      </c>
      <c r="O11" s="20" t="n">
        <f>IF(O7=  " - " ,  " - " , COUNTIF(O6:O6, "= P "))</f>
        <v>0.0</v>
      </c>
      <c r="P11" s="20" t="n">
        <f>IF(P7=  " - " ,  " - " , COUNTIF(P6:P6, "= P "))</f>
        <v>0.0</v>
      </c>
      <c r="Q11" s="20" t="n">
        <f>IF(Q7=  " - " ,  " - " , COUNTIF(Q6:Q6, "= P "))</f>
        <v>0.0</v>
      </c>
      <c r="R11" s="20" t="n">
        <f>IF(R7=  " - " ,  " - " , COUNTIF(R6:R6, "= P "))</f>
        <v>0.0</v>
      </c>
      <c r="S11" s="20" t="n">
        <f>IF(S7=  " - " ,  " - " , COUNTIF(S6:S6, "= P "))</f>
        <v>0.0</v>
      </c>
      <c r="T11" s="20" t="n">
        <f>IF(T7=  " - " ,  " - " , COUNTIF(T6:T6, "= P "))</f>
        <v>0.0</v>
      </c>
      <c r="U11" s="20" t="n">
        <f>IF(U7=  " - " ,  " - " , COUNTIF(U6:U6, "= P "))</f>
        <v>0.0</v>
      </c>
      <c r="V11" s="20" t="n">
        <f>IF(V7=  " - " ,  " - " , COUNTIF(V6:V6, "= P "))</f>
        <v>0.0</v>
      </c>
      <c r="W11" s="20" t="str">
        <f>IF(W7=  " - " ,  " - " , COUNTIF(W6:W6, "= P "))</f>
        <v> - </v>
      </c>
      <c r="X11" s="20" t="str">
        <f>IF(X7=  " - " ,  " - " , COUNTIF(X6:X6, "= P "))</f>
        <v> - </v>
      </c>
      <c r="Y11" s="20" t="str">
        <f>IF(Y7=  " - " ,  " - " , COUNTIF(Y6:Y6, "= P "))</f>
        <v> - </v>
      </c>
      <c r="Z11" s="20" t="str">
        <f>IF(Z7=  " - " ,  " - " , COUNTIF(Z6:Z6, "= P "))</f>
        <v> - </v>
      </c>
      <c r="AA11" s="20" t="str">
        <f>IF(AA7=  " - " ,  " - " , COUNTIF(AA6:AA6, "= P "))</f>
        <v> - </v>
      </c>
      <c r="AB11" s="20" t="str">
        <f>IF(AB7=  " - " ,  " - " , COUNTIF(AB6:AB6, "= P "))</f>
        <v> - </v>
      </c>
      <c r="AC11" s="20" t="str">
        <f>IF(AC7=  " - " ,  " - " , COUNTIF(AC6:AC6, "= P "))</f>
        <v> - </v>
      </c>
      <c r="AD11" s="20" t="str">
        <f>IF(AD7=  " - " ,  " - " , COUNTIF(AD6:AD6, "= P "))</f>
        <v> - </v>
      </c>
      <c r="AE11" s="20" t="str">
        <f>IF(AE7=  " - " ,  " - " , COUNTIF(AE6:AE6, "= P "))</f>
        <v> - </v>
      </c>
      <c r="AF11" s="20" t="str">
        <f>IF(AF7=  " - " ,  " - " , COUNTIF(AF6:AF6, "= P "))</f>
        <v> - </v>
      </c>
      <c r="AG11" s="20" t="str">
        <f>IF(AG7=  " - " ,  " - " , COUNTIF(AG6:AG6, "= P "))</f>
        <v> - </v>
      </c>
      <c r="AH11" s="20" t="str">
        <f>IF(AH7=  " - " ,  " - " , COUNTIF(AH6:AH6, "= P "))</f>
        <v> - </v>
      </c>
      <c r="AI11" s="20" t="str">
        <f>IF(AI7=  " - " ,  " - " , COUNTIF(AI6:AI6, "= P "))</f>
        <v> - </v>
      </c>
    </row>
    <row r="12" ht="25.0" customHeight="true">
      <c r="A12" s="23" t="s">
        <v>57</v>
      </c>
    </row>
    <row r="14" ht="25.0" customHeight="true">
      <c r="A14" s="24" t="s">
        <v>6</v>
      </c>
      <c r="B14" s="25" t="s">
        <v>58</v>
      </c>
    </row>
    <row r="16" ht="25.0" customHeight="true">
      <c r="A16" s="26" t="s">
        <v>6</v>
      </c>
      <c r="B16" s="25" t="s">
        <v>59</v>
      </c>
    </row>
    <row r="18" ht="25.0" customHeight="true">
      <c r="A18" s="27" t="s">
        <v>6</v>
      </c>
      <c r="B18" s="25" t="s">
        <v>60</v>
      </c>
    </row>
    <row r="20" ht="25.0" customHeight="true">
      <c r="A20" s="28" t="s">
        <v>61</v>
      </c>
      <c r="B20" s="25" t="s">
        <v>62</v>
      </c>
    </row>
    <row r="22" ht="25.0" customHeight="true">
      <c r="A22" s="29" t="s">
        <v>6</v>
      </c>
      <c r="B22" s="25" t="s">
        <v>63</v>
      </c>
    </row>
    <row r="24" ht="25.0" customHeight="true">
      <c r="A24" s="30" t="s">
        <v>6</v>
      </c>
      <c r="B24" s="25" t="s">
        <v>64</v>
      </c>
    </row>
  </sheetData>
  <mergeCells>
    <mergeCell ref="A1:D3"/>
    <mergeCell ref="E1:AH1"/>
    <mergeCell ref="E2:AH2"/>
    <mergeCell ref="E3:AH3"/>
    <mergeCell ref="AI1:AJ1"/>
    <mergeCell ref="AI2:AJ2"/>
    <mergeCell ref="AI3:AJ3"/>
    <mergeCell ref="A7:D7"/>
    <mergeCell ref="B9:C9"/>
    <mergeCell ref="B10:C10"/>
    <mergeCell ref="B11:C11"/>
    <mergeCell ref="A12:C12"/>
    <mergeCell ref="B14:C14"/>
    <mergeCell ref="B16:C16"/>
    <mergeCell ref="B18:C18"/>
    <mergeCell ref="B20:C20"/>
    <mergeCell ref="B22:C22"/>
    <mergeCell ref="B24:C25"/>
  </mergeCells>
  <printOptions gridLines="false"/>
  <pageMargins bottom="0.55" footer="0.25" header="0.3" left="0.25" right="0.25" top="0.25"/>
  <pageSetup paperSize="9" orientation="landscape" fitToWidth="1" fitToHeight="0"/>
  <headerFooter>
    <oddFooter><![CDATA[&C&"Calibri,Normal"&12STKR014 - Relatório Mensal de Fluxo por Faixa&R&"Calibri,Normal"&12Página &P de &N]]>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2026-03-18T14:35:40Z</dcterms:created>
  <dc:creator>Apache POI</dc:creator>
</cp:coreProperties>
</file>